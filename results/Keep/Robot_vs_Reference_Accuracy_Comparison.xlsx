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rfideastemp-my.sharepoint.com/personal/wmahmood_rfideas_com/Documents/Documents/card-read-heights/card-read-height/results/Keep/"/>
    </mc:Choice>
  </mc:AlternateContent>
  <xr:revisionPtr revIDLastSave="5" documentId="11_F57310A04B554F77630AC03526DE14F7671D6DE9" xr6:coauthVersionLast="47" xr6:coauthVersionMax="47" xr10:uidLastSave="{302187E3-346E-4D52-800A-CB21ADD51B1A}"/>
  <bookViews>
    <workbookView xWindow="-120" yWindow="-120" windowWidth="29040" windowHeight="15720" tabRatio="500" xr2:uid="{00000000-000D-0000-FFFF-FFFF00000000}"/>
  </bookViews>
  <sheets>
    <sheet name="Accuracy Comparison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36" i="1" l="1"/>
  <c r="M36" i="1"/>
  <c r="J36" i="1"/>
  <c r="G36" i="1"/>
  <c r="Q36" i="1" s="1"/>
  <c r="P35" i="1"/>
  <c r="M35" i="1"/>
  <c r="J35" i="1"/>
  <c r="G35" i="1"/>
  <c r="Q35" i="1" s="1"/>
  <c r="P34" i="1"/>
  <c r="M34" i="1"/>
  <c r="J34" i="1"/>
  <c r="G34" i="1"/>
  <c r="Q34" i="1" s="1"/>
  <c r="P33" i="1"/>
  <c r="M33" i="1"/>
  <c r="Q33" i="1" s="1"/>
  <c r="J33" i="1"/>
  <c r="G33" i="1"/>
  <c r="P32" i="1"/>
  <c r="M32" i="1"/>
  <c r="J32" i="1"/>
  <c r="G32" i="1"/>
  <c r="Q32" i="1" s="1"/>
  <c r="P31" i="1"/>
  <c r="M31" i="1"/>
  <c r="J31" i="1"/>
  <c r="G31" i="1"/>
  <c r="Q31" i="1" s="1"/>
  <c r="P30" i="1"/>
  <c r="M30" i="1"/>
  <c r="J30" i="1"/>
  <c r="G30" i="1"/>
  <c r="Q30" i="1" s="1"/>
  <c r="P29" i="1"/>
  <c r="M29" i="1"/>
  <c r="J29" i="1"/>
  <c r="G29" i="1"/>
  <c r="Q29" i="1" s="1"/>
  <c r="P28" i="1"/>
  <c r="M28" i="1"/>
  <c r="J28" i="1"/>
  <c r="G28" i="1"/>
  <c r="Q28" i="1" s="1"/>
  <c r="P27" i="1"/>
  <c r="M27" i="1"/>
  <c r="J27" i="1"/>
  <c r="G27" i="1"/>
  <c r="Q27" i="1" s="1"/>
  <c r="P26" i="1"/>
  <c r="M26" i="1"/>
  <c r="J26" i="1"/>
  <c r="G26" i="1"/>
  <c r="Q26" i="1" s="1"/>
  <c r="P25" i="1"/>
  <c r="M25" i="1"/>
  <c r="J25" i="1"/>
  <c r="G25" i="1"/>
  <c r="Q25" i="1" s="1"/>
  <c r="P24" i="1"/>
  <c r="M24" i="1"/>
  <c r="J24" i="1"/>
  <c r="G24" i="1"/>
  <c r="Q24" i="1" s="1"/>
  <c r="P23" i="1"/>
  <c r="M23" i="1"/>
  <c r="J23" i="1"/>
  <c r="G23" i="1"/>
  <c r="Q23" i="1" s="1"/>
  <c r="P22" i="1"/>
  <c r="M22" i="1"/>
  <c r="J22" i="1"/>
  <c r="G22" i="1"/>
  <c r="Q22" i="1" s="1"/>
  <c r="P21" i="1"/>
  <c r="M21" i="1"/>
  <c r="J21" i="1"/>
  <c r="G21" i="1"/>
  <c r="Q21" i="1" s="1"/>
  <c r="P20" i="1"/>
  <c r="M20" i="1"/>
  <c r="J20" i="1"/>
  <c r="G20" i="1"/>
  <c r="Q20" i="1" s="1"/>
  <c r="Q19" i="1"/>
  <c r="P19" i="1"/>
  <c r="M19" i="1"/>
  <c r="J19" i="1"/>
  <c r="G19" i="1"/>
  <c r="Q18" i="1"/>
  <c r="P18" i="1"/>
  <c r="M18" i="1"/>
  <c r="J18" i="1"/>
  <c r="G18" i="1"/>
  <c r="P17" i="1"/>
  <c r="M17" i="1"/>
  <c r="Q17" i="1" s="1"/>
  <c r="J17" i="1"/>
  <c r="G17" i="1"/>
  <c r="P16" i="1"/>
  <c r="Q16" i="1" s="1"/>
  <c r="M16" i="1"/>
  <c r="J16" i="1"/>
  <c r="G16" i="1"/>
  <c r="P15" i="1"/>
  <c r="M15" i="1"/>
  <c r="J15" i="1"/>
  <c r="G15" i="1"/>
  <c r="Q15" i="1" s="1"/>
  <c r="P14" i="1"/>
  <c r="M14" i="1"/>
  <c r="J14" i="1"/>
  <c r="G14" i="1"/>
  <c r="Q14" i="1" s="1"/>
  <c r="P13" i="1"/>
  <c r="M13" i="1"/>
  <c r="J13" i="1"/>
  <c r="G13" i="1"/>
  <c r="Q13" i="1" s="1"/>
  <c r="P12" i="1"/>
  <c r="M12" i="1"/>
  <c r="J12" i="1"/>
  <c r="G12" i="1"/>
  <c r="Q12" i="1" s="1"/>
  <c r="P11" i="1"/>
  <c r="M11" i="1"/>
  <c r="J11" i="1"/>
  <c r="G11" i="1"/>
  <c r="Q11" i="1" s="1"/>
  <c r="P10" i="1"/>
  <c r="M10" i="1"/>
  <c r="J10" i="1"/>
  <c r="G10" i="1"/>
  <c r="Q10" i="1" s="1"/>
  <c r="P9" i="1"/>
  <c r="M9" i="1"/>
  <c r="J9" i="1"/>
  <c r="G9" i="1"/>
  <c r="Q9" i="1" s="1"/>
  <c r="P8" i="1"/>
  <c r="M8" i="1"/>
  <c r="J8" i="1"/>
  <c r="G8" i="1"/>
  <c r="Q8" i="1" s="1"/>
  <c r="P7" i="1"/>
  <c r="M7" i="1"/>
  <c r="J7" i="1"/>
  <c r="G7" i="1"/>
  <c r="Q7" i="1" s="1"/>
  <c r="Q38" i="1" s="1"/>
</calcChain>
</file>

<file path=xl/sharedStrings.xml><?xml version="1.0" encoding="utf-8"?>
<sst xmlns="http://schemas.openxmlformats.org/spreadsheetml/2006/main" count="87" uniqueCount="77">
  <si>
    <t>Robot vs. Reference — Read-Height Accuracy Comparison</t>
  </si>
  <si>
    <t>Card #</t>
  </si>
  <si>
    <t>Card Title</t>
  </si>
  <si>
    <t>Barcode</t>
  </si>
  <si>
    <t>Ref Row</t>
  </si>
  <si>
    <t>0° Side A</t>
  </si>
  <si>
    <t>90° Side A</t>
  </si>
  <si>
    <t>0° Side B</t>
  </si>
  <si>
    <t>90° Side B</t>
  </si>
  <si>
    <t>Card Avg Accuracy %</t>
  </si>
  <si>
    <t>Notes</t>
  </si>
  <si>
    <t>Robot (mm)</t>
  </si>
  <si>
    <t>Reference (mm)</t>
  </si>
  <si>
    <t>Accuracy %</t>
  </si>
  <si>
    <t>CASI-RUSCO UID</t>
  </si>
  <si>
    <t>B001 / A001</t>
  </si>
  <si>
    <t>HID Prox UID (608x)</t>
  </si>
  <si>
    <t>B003 / A003</t>
  </si>
  <si>
    <t>Indala Custom</t>
  </si>
  <si>
    <t>B004 / A004</t>
  </si>
  <si>
    <t>Keri UID</t>
  </si>
  <si>
    <t>B005 / A005</t>
  </si>
  <si>
    <t>Awid UID</t>
  </si>
  <si>
    <t>B006 / A006</t>
  </si>
  <si>
    <t>EM 410x UID</t>
  </si>
  <si>
    <t>B007 / A007</t>
  </si>
  <si>
    <t>G Prox</t>
  </si>
  <si>
    <t>B008 / A008</t>
  </si>
  <si>
    <t>IO Prox UID</t>
  </si>
  <si>
    <t>B009 / A009</t>
  </si>
  <si>
    <t>HiTag 1 &amp; S UID</t>
  </si>
  <si>
    <t>B010 / A010</t>
  </si>
  <si>
    <t>Paradox</t>
  </si>
  <si>
    <t>B011 / A011</t>
  </si>
  <si>
    <t>Isonas UID</t>
  </si>
  <si>
    <t>B012 / A012</t>
  </si>
  <si>
    <t>ReadyKey</t>
  </si>
  <si>
    <t>B013 / A013</t>
  </si>
  <si>
    <t>Indala ASP UID</t>
  </si>
  <si>
    <t>B014 / A014</t>
  </si>
  <si>
    <t>IO Prox</t>
  </si>
  <si>
    <t>B015 / A015</t>
  </si>
  <si>
    <t>EM 4200</t>
  </si>
  <si>
    <t>B016 / A016</t>
  </si>
  <si>
    <t>CEPAS</t>
  </si>
  <si>
    <t>A017 / B017</t>
  </si>
  <si>
    <t>FeliCa (NFC 3) UID</t>
  </si>
  <si>
    <t>B018 / A018</t>
  </si>
  <si>
    <t>Topaz CSN (NFC 1)</t>
  </si>
  <si>
    <t>B019 / A019</t>
  </si>
  <si>
    <t>ISO14443A CSN</t>
  </si>
  <si>
    <t>B020 / A020</t>
  </si>
  <si>
    <t>ISO14443B CSN</t>
  </si>
  <si>
    <t>B021 / A021</t>
  </si>
  <si>
    <t>ISO 15693 CSN</t>
  </si>
  <si>
    <t>B022 / A022</t>
  </si>
  <si>
    <t>iCLASS SEOS - Prox</t>
  </si>
  <si>
    <t>B024 / A024</t>
  </si>
  <si>
    <t>ISO14443A</t>
  </si>
  <si>
    <t>B025 / A025</t>
  </si>
  <si>
    <t>Felica STD-DES</t>
  </si>
  <si>
    <t>B026 / A026</t>
  </si>
  <si>
    <t>ISO14443A LEGIC</t>
  </si>
  <si>
    <t>B027 / A027</t>
  </si>
  <si>
    <t>HID iCLASS - Prox</t>
  </si>
  <si>
    <t>B028 / A028</t>
  </si>
  <si>
    <t>iCLASS SE- 14443A</t>
  </si>
  <si>
    <t>B029 / A029</t>
  </si>
  <si>
    <t>B030 / A030</t>
  </si>
  <si>
    <t>CEPAS EZ LINK</t>
  </si>
  <si>
    <t>B031 / A031</t>
  </si>
  <si>
    <t>Mifare DeSFIRE EV1</t>
  </si>
  <si>
    <t>B032 / A032</t>
  </si>
  <si>
    <t>OVERALL ACCURACY (all cards, all angles)</t>
  </si>
  <si>
    <t>Cards in reference file NOT tested by the robot (excluded from the comparison above):</t>
  </si>
  <si>
    <t>• Cotag UID  (reference row 10)</t>
  </si>
  <si>
    <t>• HID iCLASS CSN  (reference row 28)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</si>
</sst>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  <charset val="1"/>
    </font>
    <font>
      <b/>
      <sz val="16"/>
      <color rgb="FF1F3864"/>
      <name val="Calibri"/>
      <charset val="1"/>
    </font>
    <font>
      <i/>
      <sz val="10"/>
      <color rgb="FF595959"/>
      <name val="Calibri"/>
      <charset val="1"/>
    </font>
    <font>
      <b/>
      <i/>
      <sz val="9"/>
      <color rgb="FF9C6500"/>
      <name val="Calibri"/>
      <charset val="1"/>
    </font>
    <font>
      <b/>
      <sz val="10"/>
      <color rgb="FFFFFFFF"/>
      <name val="Calibri"/>
      <charset val="1"/>
    </font>
    <font>
      <b/>
      <sz val="11"/>
      <color rgb="FFFFFFFF"/>
      <name val="Calibri"/>
      <charset val="1"/>
    </font>
    <font>
      <sz val="10"/>
      <name val="Calibri"/>
      <charset val="1"/>
    </font>
    <font>
      <b/>
      <sz val="10"/>
      <name val="Calibri"/>
      <charset val="1"/>
    </font>
    <font>
      <i/>
      <sz val="9"/>
      <color rgb="FF808080"/>
      <name val="Calibri"/>
      <charset val="1"/>
    </font>
    <font>
      <b/>
      <sz val="11"/>
      <color rgb="FF1F3864"/>
      <name val="Calibri"/>
      <charset val="1"/>
    </font>
    <font>
      <b/>
      <sz val="12"/>
      <color rgb="FF1F3864"/>
      <name val="Calibri"/>
      <charset val="1"/>
    </font>
    <font>
      <b/>
      <i/>
      <sz val="10"/>
      <name val="Calibri"/>
      <charset val="1"/>
    </font>
    <font>
      <i/>
      <sz val="10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597"/>
        <bgColor rgb="FF1F3864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9E2F3"/>
        <bgColor rgb="FFF2F2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8" fillId="0" borderId="0" xfId="0" applyFont="1" applyAlignment="1">
      <alignment wrapText="1"/>
    </xf>
    <xf numFmtId="0" fontId="9" fillId="6" borderId="3" xfId="0" applyFont="1" applyFill="1" applyBorder="1"/>
    <xf numFmtId="0" fontId="5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2" fillId="0" borderId="0" xfId="0" applyFont="1"/>
    <xf numFmtId="0" fontId="1" fillId="0" borderId="0" xfId="0" applyFont="1"/>
    <xf numFmtId="0" fontId="4" fillId="3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left"/>
    </xf>
    <xf numFmtId="164" fontId="6" fillId="4" borderId="3" xfId="0" applyNumberFormat="1" applyFont="1" applyFill="1" applyBorder="1" applyAlignment="1">
      <alignment horizontal="center"/>
    </xf>
    <xf numFmtId="164" fontId="7" fillId="4" borderId="3" xfId="0" applyNumberFormat="1" applyFont="1" applyFill="1" applyBorder="1" applyAlignment="1">
      <alignment horizontal="center"/>
    </xf>
    <xf numFmtId="0" fontId="8" fillId="0" borderId="3" xfId="0" applyFont="1" applyBorder="1" applyAlignment="1">
      <alignment horizontal="left" wrapText="1"/>
    </xf>
    <xf numFmtId="0" fontId="6" fillId="5" borderId="3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left"/>
    </xf>
    <xf numFmtId="164" fontId="6" fillId="5" borderId="3" xfId="0" applyNumberFormat="1" applyFont="1" applyFill="1" applyBorder="1" applyAlignment="1">
      <alignment horizontal="center"/>
    </xf>
    <xf numFmtId="164" fontId="7" fillId="5" borderId="3" xfId="0" applyNumberFormat="1" applyFont="1" applyFill="1" applyBorder="1" applyAlignment="1">
      <alignment horizontal="center"/>
    </xf>
    <xf numFmtId="0" fontId="0" fillId="6" borderId="3" xfId="0" applyFill="1" applyBorder="1"/>
    <xf numFmtId="164" fontId="10" fillId="6" borderId="3" xfId="0" applyNumberFormat="1" applyFont="1" applyFill="1" applyBorder="1"/>
    <xf numFmtId="0" fontId="11" fillId="0" borderId="0" xfId="0" applyFont="1"/>
    <xf numFmtId="0" fontId="12" fillId="0" borderId="0" xfId="0" applyFont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4"/>
  <sheetViews>
    <sheetView showGridLines="0" tabSelected="1" zoomScaleNormal="100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C50" sqref="C50"/>
    </sheetView>
  </sheetViews>
  <sheetFormatPr defaultColWidth="8.7109375" defaultRowHeight="15" x14ac:dyDescent="0.25"/>
  <cols>
    <col min="1" max="1" width="8" customWidth="1"/>
    <col min="2" max="2" width="22" customWidth="1"/>
    <col min="3" max="3" width="16" customWidth="1"/>
    <col min="4" max="4" width="9" customWidth="1"/>
    <col min="5" max="16" width="12" customWidth="1"/>
    <col min="17" max="17" width="14" customWidth="1"/>
    <col min="18" max="18" width="40" customWidth="1"/>
  </cols>
  <sheetData>
    <row r="1" spans="1:21" ht="25.5" customHeight="1" x14ac:dyDescent="0.3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 ht="15.7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spans="1:21" ht="15.75" customHeight="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5" spans="1:21" ht="19.5" customHeight="1" x14ac:dyDescent="0.25">
      <c r="A5" s="4" t="s">
        <v>1</v>
      </c>
      <c r="B5" s="4" t="s">
        <v>2</v>
      </c>
      <c r="C5" s="4" t="s">
        <v>3</v>
      </c>
      <c r="D5" s="4" t="s">
        <v>4</v>
      </c>
      <c r="E5" s="3" t="s">
        <v>5</v>
      </c>
      <c r="F5" s="3"/>
      <c r="G5" s="3"/>
      <c r="H5" s="3" t="s">
        <v>6</v>
      </c>
      <c r="I5" s="3"/>
      <c r="J5" s="3"/>
      <c r="K5" s="3" t="s">
        <v>7</v>
      </c>
      <c r="L5" s="3"/>
      <c r="M5" s="3"/>
      <c r="N5" s="3" t="s">
        <v>8</v>
      </c>
      <c r="O5" s="3"/>
      <c r="P5" s="3"/>
      <c r="Q5" s="4" t="s">
        <v>9</v>
      </c>
      <c r="R5" s="4" t="s">
        <v>10</v>
      </c>
    </row>
    <row r="6" spans="1:21" ht="18" customHeight="1" x14ac:dyDescent="0.25">
      <c r="A6" s="4"/>
      <c r="B6" s="4"/>
      <c r="C6" s="4"/>
      <c r="D6" s="4"/>
      <c r="E6" s="8" t="s">
        <v>11</v>
      </c>
      <c r="F6" s="8" t="s">
        <v>12</v>
      </c>
      <c r="G6" s="8" t="s">
        <v>13</v>
      </c>
      <c r="H6" s="8" t="s">
        <v>11</v>
      </c>
      <c r="I6" s="8" t="s">
        <v>12</v>
      </c>
      <c r="J6" s="8" t="s">
        <v>13</v>
      </c>
      <c r="K6" s="8" t="s">
        <v>11</v>
      </c>
      <c r="L6" s="8" t="s">
        <v>12</v>
      </c>
      <c r="M6" s="8" t="s">
        <v>13</v>
      </c>
      <c r="N6" s="8" t="s">
        <v>11</v>
      </c>
      <c r="O6" s="8" t="s">
        <v>12</v>
      </c>
      <c r="P6" s="8" t="s">
        <v>13</v>
      </c>
      <c r="Q6" s="4"/>
      <c r="R6" s="4"/>
    </row>
    <row r="7" spans="1:21" x14ac:dyDescent="0.25">
      <c r="A7" s="9">
        <v>1</v>
      </c>
      <c r="B7" s="10" t="s">
        <v>14</v>
      </c>
      <c r="C7" s="9" t="s">
        <v>15</v>
      </c>
      <c r="D7" s="9">
        <v>9</v>
      </c>
      <c r="E7" s="11">
        <v>50</v>
      </c>
      <c r="F7" s="11">
        <v>52.45</v>
      </c>
      <c r="G7" s="11">
        <f t="shared" ref="G7:G36" si="0">IF(OR(E7="",F7="",F7=0),"",100-ABS(E7-F7)/F7*100)</f>
        <v>95.328884652049567</v>
      </c>
      <c r="H7" s="11">
        <v>48.5</v>
      </c>
      <c r="I7" s="11">
        <v>47.76</v>
      </c>
      <c r="J7" s="11">
        <f t="shared" ref="J7:J36" si="1">IF(OR(H7="",I7="",I7=0),"",100-ABS(H7-I7)/I7*100)</f>
        <v>98.450586264656607</v>
      </c>
      <c r="K7" s="11">
        <v>48</v>
      </c>
      <c r="L7" s="11">
        <v>50.93</v>
      </c>
      <c r="M7" s="11">
        <f t="shared" ref="M7:M36" si="2">IF(OR(K7="",L7="",L7=0),"",100-ABS(K7-L7)/L7*100)</f>
        <v>94.247005694089921</v>
      </c>
      <c r="N7" s="11">
        <v>48</v>
      </c>
      <c r="O7" s="11">
        <v>45.21</v>
      </c>
      <c r="P7" s="11">
        <f t="shared" ref="P7:P36" si="3">IF(OR(N7="",O7="",O7=0),"",100-ABS(N7-O7)/O7*100)</f>
        <v>93.828798938287989</v>
      </c>
      <c r="Q7" s="12">
        <f t="shared" ref="Q7:Q36" si="4">IFERROR(AVERAGE(G7,J7,M7,P7),"")</f>
        <v>95.463818887271017</v>
      </c>
      <c r="R7" s="13"/>
    </row>
    <row r="8" spans="1:21" x14ac:dyDescent="0.25">
      <c r="A8" s="14">
        <v>2</v>
      </c>
      <c r="B8" s="15" t="s">
        <v>16</v>
      </c>
      <c r="C8" s="14" t="s">
        <v>17</v>
      </c>
      <c r="D8" s="14">
        <v>11</v>
      </c>
      <c r="E8" s="16">
        <v>48</v>
      </c>
      <c r="F8" s="16">
        <v>52.4</v>
      </c>
      <c r="G8" s="16">
        <f t="shared" si="0"/>
        <v>91.603053435114504</v>
      </c>
      <c r="H8" s="16">
        <v>47.5</v>
      </c>
      <c r="I8" s="16">
        <v>47.02</v>
      </c>
      <c r="J8" s="16">
        <f t="shared" si="1"/>
        <v>98.979157805189288</v>
      </c>
      <c r="K8" s="16">
        <v>46</v>
      </c>
      <c r="L8" s="16">
        <v>52.48</v>
      </c>
      <c r="M8" s="16">
        <f t="shared" si="2"/>
        <v>87.652439024390247</v>
      </c>
      <c r="N8" s="16">
        <v>46</v>
      </c>
      <c r="O8" s="16">
        <v>45.06</v>
      </c>
      <c r="P8" s="16">
        <f t="shared" si="3"/>
        <v>97.913892587660897</v>
      </c>
      <c r="Q8" s="17">
        <f t="shared" si="4"/>
        <v>94.03713571308873</v>
      </c>
      <c r="R8" s="13"/>
    </row>
    <row r="9" spans="1:21" x14ac:dyDescent="0.25">
      <c r="A9" s="9">
        <v>3</v>
      </c>
      <c r="B9" s="10" t="s">
        <v>18</v>
      </c>
      <c r="C9" s="9" t="s">
        <v>19</v>
      </c>
      <c r="D9" s="9">
        <v>12</v>
      </c>
      <c r="E9" s="11">
        <v>59.5</v>
      </c>
      <c r="F9" s="11">
        <v>60.92</v>
      </c>
      <c r="G9" s="11">
        <f t="shared" si="0"/>
        <v>97.66907419566644</v>
      </c>
      <c r="H9" s="11">
        <v>58.5</v>
      </c>
      <c r="I9" s="11">
        <v>52.94</v>
      </c>
      <c r="J9" s="11">
        <f t="shared" si="1"/>
        <v>89.49754438987533</v>
      </c>
      <c r="K9" s="11">
        <v>61</v>
      </c>
      <c r="L9" s="11">
        <v>57.77</v>
      </c>
      <c r="M9" s="11">
        <f t="shared" si="2"/>
        <v>94.408862731521552</v>
      </c>
      <c r="N9" s="11">
        <v>61</v>
      </c>
      <c r="O9" s="11">
        <v>53.97</v>
      </c>
      <c r="P9" s="11">
        <f t="shared" si="3"/>
        <v>86.974244950898651</v>
      </c>
      <c r="Q9" s="12">
        <f t="shared" si="4"/>
        <v>92.137431566990486</v>
      </c>
      <c r="R9" s="13"/>
    </row>
    <row r="10" spans="1:21" x14ac:dyDescent="0.25">
      <c r="A10" s="14">
        <v>4</v>
      </c>
      <c r="B10" s="15" t="s">
        <v>20</v>
      </c>
      <c r="C10" s="14" t="s">
        <v>21</v>
      </c>
      <c r="D10" s="14">
        <v>13</v>
      </c>
      <c r="E10" s="16">
        <v>59.5</v>
      </c>
      <c r="F10" s="16">
        <v>59.67</v>
      </c>
      <c r="G10" s="16">
        <f t="shared" si="0"/>
        <v>99.715099715099711</v>
      </c>
      <c r="H10" s="16">
        <v>58.5</v>
      </c>
      <c r="I10" s="16">
        <v>51.85</v>
      </c>
      <c r="J10" s="16">
        <f t="shared" si="1"/>
        <v>87.174541947926713</v>
      </c>
      <c r="K10" s="16">
        <v>61.5</v>
      </c>
      <c r="L10" s="16">
        <v>59.79</v>
      </c>
      <c r="M10" s="16">
        <f t="shared" si="2"/>
        <v>97.139989964877074</v>
      </c>
      <c r="N10" s="16">
        <v>62</v>
      </c>
      <c r="O10" s="16">
        <v>53.39</v>
      </c>
      <c r="P10" s="16">
        <f t="shared" si="3"/>
        <v>83.873384528938004</v>
      </c>
      <c r="Q10" s="17">
        <f t="shared" si="4"/>
        <v>91.975754039210372</v>
      </c>
      <c r="R10" s="13"/>
    </row>
    <row r="11" spans="1:21" x14ac:dyDescent="0.25">
      <c r="A11" s="9">
        <v>5</v>
      </c>
      <c r="B11" s="10" t="s">
        <v>22</v>
      </c>
      <c r="C11" s="9" t="s">
        <v>23</v>
      </c>
      <c r="D11" s="9">
        <v>14</v>
      </c>
      <c r="E11" s="11">
        <v>56.5</v>
      </c>
      <c r="F11" s="11">
        <v>55.01</v>
      </c>
      <c r="G11" s="11">
        <f t="shared" si="0"/>
        <v>97.29140156335211</v>
      </c>
      <c r="H11" s="11">
        <v>57</v>
      </c>
      <c r="I11" s="11">
        <v>44.31</v>
      </c>
      <c r="J11" s="11">
        <f t="shared" si="1"/>
        <v>71.360866621530135</v>
      </c>
      <c r="K11" s="11">
        <v>55</v>
      </c>
      <c r="L11" s="11">
        <v>50.67</v>
      </c>
      <c r="M11" s="11">
        <f t="shared" si="2"/>
        <v>91.454509571738711</v>
      </c>
      <c r="N11" s="11">
        <v>54.5</v>
      </c>
      <c r="O11" s="11">
        <v>47.97</v>
      </c>
      <c r="P11" s="11">
        <f t="shared" si="3"/>
        <v>86.387325411715651</v>
      </c>
      <c r="Q11" s="12">
        <f t="shared" si="4"/>
        <v>86.623525792084152</v>
      </c>
      <c r="R11" s="13"/>
    </row>
    <row r="12" spans="1:21" x14ac:dyDescent="0.25">
      <c r="A12" s="14">
        <v>6</v>
      </c>
      <c r="B12" s="15" t="s">
        <v>24</v>
      </c>
      <c r="C12" s="14" t="s">
        <v>25</v>
      </c>
      <c r="D12" s="14">
        <v>15</v>
      </c>
      <c r="E12" s="16">
        <v>54.5</v>
      </c>
      <c r="F12" s="16">
        <v>55.42</v>
      </c>
      <c r="G12" s="16">
        <f t="shared" si="0"/>
        <v>98.339949476723206</v>
      </c>
      <c r="H12" s="16">
        <v>55.5</v>
      </c>
      <c r="I12" s="16">
        <v>43.92</v>
      </c>
      <c r="J12" s="16">
        <f t="shared" si="1"/>
        <v>73.633879781420774</v>
      </c>
      <c r="K12" s="16">
        <v>54</v>
      </c>
      <c r="L12" s="16">
        <v>52.07</v>
      </c>
      <c r="M12" s="16">
        <f t="shared" si="2"/>
        <v>96.293451123487614</v>
      </c>
      <c r="N12" s="16">
        <v>56</v>
      </c>
      <c r="O12" s="16">
        <v>45.71</v>
      </c>
      <c r="P12" s="16">
        <f t="shared" si="3"/>
        <v>77.488514548238896</v>
      </c>
      <c r="Q12" s="17">
        <f t="shared" si="4"/>
        <v>86.438948732467622</v>
      </c>
      <c r="R12" s="13"/>
    </row>
    <row r="13" spans="1:21" x14ac:dyDescent="0.25">
      <c r="A13" s="9">
        <v>7</v>
      </c>
      <c r="B13" s="10" t="s">
        <v>26</v>
      </c>
      <c r="C13" s="9" t="s">
        <v>27</v>
      </c>
      <c r="D13" s="9">
        <v>16</v>
      </c>
      <c r="E13" s="11">
        <v>46.5</v>
      </c>
      <c r="F13" s="11">
        <v>44.59</v>
      </c>
      <c r="G13" s="11">
        <f t="shared" si="0"/>
        <v>95.716528369589597</v>
      </c>
      <c r="H13" s="11">
        <v>44</v>
      </c>
      <c r="I13" s="11">
        <v>39.729999999999997</v>
      </c>
      <c r="J13" s="11">
        <f t="shared" si="1"/>
        <v>89.25245406493832</v>
      </c>
      <c r="K13" s="11">
        <v>45</v>
      </c>
      <c r="L13" s="11">
        <v>43.44</v>
      </c>
      <c r="M13" s="11">
        <f t="shared" si="2"/>
        <v>96.408839779005518</v>
      </c>
      <c r="N13" s="11">
        <v>43.5</v>
      </c>
      <c r="O13" s="11">
        <v>41.33</v>
      </c>
      <c r="P13" s="11">
        <f t="shared" si="3"/>
        <v>94.749576578756347</v>
      </c>
      <c r="Q13" s="12">
        <f t="shared" si="4"/>
        <v>94.031849698072449</v>
      </c>
      <c r="R13" s="13"/>
    </row>
    <row r="14" spans="1:21" x14ac:dyDescent="0.25">
      <c r="A14" s="14">
        <v>8</v>
      </c>
      <c r="B14" s="15" t="s">
        <v>28</v>
      </c>
      <c r="C14" s="14" t="s">
        <v>29</v>
      </c>
      <c r="D14" s="14">
        <v>17</v>
      </c>
      <c r="E14" s="16">
        <v>66</v>
      </c>
      <c r="F14" s="16">
        <v>67.489999999999995</v>
      </c>
      <c r="G14" s="16">
        <f t="shared" si="0"/>
        <v>97.792265520817907</v>
      </c>
      <c r="H14" s="16">
        <v>66.5</v>
      </c>
      <c r="I14" s="16">
        <v>59.44</v>
      </c>
      <c r="J14" s="16">
        <f t="shared" si="1"/>
        <v>88.12247644683714</v>
      </c>
      <c r="K14" s="16">
        <v>68</v>
      </c>
      <c r="L14" s="16">
        <v>62.38</v>
      </c>
      <c r="M14" s="16">
        <f t="shared" si="2"/>
        <v>90.990702148124399</v>
      </c>
      <c r="N14" s="16">
        <v>68.5</v>
      </c>
      <c r="O14" s="16">
        <v>61.31</v>
      </c>
      <c r="P14" s="16">
        <f t="shared" si="3"/>
        <v>88.272712444951893</v>
      </c>
      <c r="Q14" s="17">
        <f t="shared" si="4"/>
        <v>91.294539140182835</v>
      </c>
      <c r="R14" s="13"/>
    </row>
    <row r="15" spans="1:21" x14ac:dyDescent="0.25">
      <c r="A15" s="9">
        <v>9</v>
      </c>
      <c r="B15" s="10" t="s">
        <v>30</v>
      </c>
      <c r="C15" s="9" t="s">
        <v>31</v>
      </c>
      <c r="D15" s="9">
        <v>18</v>
      </c>
      <c r="E15" s="11">
        <v>44.5</v>
      </c>
      <c r="F15" s="11">
        <v>45.04</v>
      </c>
      <c r="G15" s="11">
        <f t="shared" si="0"/>
        <v>98.801065719360565</v>
      </c>
      <c r="H15" s="11">
        <v>42.5</v>
      </c>
      <c r="I15" s="11">
        <v>50.62</v>
      </c>
      <c r="J15" s="11">
        <f t="shared" si="1"/>
        <v>83.958909521928092</v>
      </c>
      <c r="K15" s="11">
        <v>44</v>
      </c>
      <c r="L15" s="11">
        <v>47.13</v>
      </c>
      <c r="M15" s="11">
        <f t="shared" si="2"/>
        <v>93.358794822830461</v>
      </c>
      <c r="N15" s="11">
        <v>43.5</v>
      </c>
      <c r="O15" s="11">
        <v>49.84</v>
      </c>
      <c r="P15" s="11">
        <f t="shared" si="3"/>
        <v>87.279293739967898</v>
      </c>
      <c r="Q15" s="12">
        <f t="shared" si="4"/>
        <v>90.849515951021758</v>
      </c>
      <c r="R15" s="13"/>
    </row>
    <row r="16" spans="1:21" x14ac:dyDescent="0.25">
      <c r="A16" s="14">
        <v>10</v>
      </c>
      <c r="B16" s="15" t="s">
        <v>32</v>
      </c>
      <c r="C16" s="14" t="s">
        <v>33</v>
      </c>
      <c r="D16" s="14">
        <v>19</v>
      </c>
      <c r="E16" s="16">
        <v>65</v>
      </c>
      <c r="F16" s="16">
        <v>59.66</v>
      </c>
      <c r="G16" s="16">
        <f t="shared" si="0"/>
        <v>91.049279249078097</v>
      </c>
      <c r="H16" s="16">
        <v>64.5</v>
      </c>
      <c r="I16" s="16">
        <v>56.54</v>
      </c>
      <c r="J16" s="16">
        <f t="shared" si="1"/>
        <v>85.921471524584362</v>
      </c>
      <c r="K16" s="16">
        <v>59.5</v>
      </c>
      <c r="L16" s="16">
        <v>53.55</v>
      </c>
      <c r="M16" s="16">
        <f t="shared" si="2"/>
        <v>88.888888888888886</v>
      </c>
      <c r="N16" s="16">
        <v>59.5</v>
      </c>
      <c r="O16" s="16">
        <v>51.52</v>
      </c>
      <c r="P16" s="16">
        <f t="shared" si="3"/>
        <v>84.510869565217405</v>
      </c>
      <c r="Q16" s="17">
        <f t="shared" si="4"/>
        <v>87.592627306942177</v>
      </c>
      <c r="R16" s="13"/>
    </row>
    <row r="17" spans="1:18" x14ac:dyDescent="0.25">
      <c r="A17" s="9">
        <v>11</v>
      </c>
      <c r="B17" s="10" t="s">
        <v>34</v>
      </c>
      <c r="C17" s="9" t="s">
        <v>35</v>
      </c>
      <c r="D17" s="9">
        <v>20</v>
      </c>
      <c r="E17" s="11">
        <v>63</v>
      </c>
      <c r="F17" s="11">
        <v>52.69</v>
      </c>
      <c r="G17" s="11">
        <f t="shared" si="0"/>
        <v>80.432719681153912</v>
      </c>
      <c r="H17" s="11">
        <v>61.5</v>
      </c>
      <c r="I17" s="11">
        <v>52.09</v>
      </c>
      <c r="J17" s="11">
        <f t="shared" si="1"/>
        <v>81.935112305624884</v>
      </c>
      <c r="K17" s="11">
        <v>66.5</v>
      </c>
      <c r="L17" s="11">
        <v>63.98</v>
      </c>
      <c r="M17" s="11">
        <f t="shared" si="2"/>
        <v>96.061269146608311</v>
      </c>
      <c r="N17" s="11">
        <v>64.5</v>
      </c>
      <c r="O17" s="11">
        <v>61.22</v>
      </c>
      <c r="P17" s="11">
        <f t="shared" si="3"/>
        <v>94.642273766742889</v>
      </c>
      <c r="Q17" s="12">
        <f t="shared" si="4"/>
        <v>88.267843725032506</v>
      </c>
      <c r="R17" s="13"/>
    </row>
    <row r="18" spans="1:18" x14ac:dyDescent="0.25">
      <c r="A18" s="14">
        <v>12</v>
      </c>
      <c r="B18" s="15" t="s">
        <v>36</v>
      </c>
      <c r="C18" s="14" t="s">
        <v>37</v>
      </c>
      <c r="D18" s="14">
        <v>21</v>
      </c>
      <c r="E18" s="16">
        <v>41.5</v>
      </c>
      <c r="F18" s="16">
        <v>40.549999999999997</v>
      </c>
      <c r="G18" s="16">
        <f t="shared" si="0"/>
        <v>97.657213316892722</v>
      </c>
      <c r="H18" s="16">
        <v>42</v>
      </c>
      <c r="I18" s="16">
        <v>33.840000000000003</v>
      </c>
      <c r="J18" s="16">
        <f t="shared" si="1"/>
        <v>75.886524822695051</v>
      </c>
      <c r="K18" s="16">
        <v>40.5</v>
      </c>
      <c r="L18" s="16">
        <v>45.87</v>
      </c>
      <c r="M18" s="16">
        <f t="shared" si="2"/>
        <v>88.293001962066711</v>
      </c>
      <c r="N18" s="16">
        <v>41</v>
      </c>
      <c r="O18" s="16">
        <v>35.71</v>
      </c>
      <c r="P18" s="16">
        <f t="shared" si="3"/>
        <v>85.186222346681603</v>
      </c>
      <c r="Q18" s="17">
        <f t="shared" si="4"/>
        <v>86.755740612084026</v>
      </c>
      <c r="R18" s="13"/>
    </row>
    <row r="19" spans="1:18" x14ac:dyDescent="0.25">
      <c r="A19" s="9">
        <v>13</v>
      </c>
      <c r="B19" s="10" t="s">
        <v>38</v>
      </c>
      <c r="C19" s="9" t="s">
        <v>39</v>
      </c>
      <c r="D19" s="9">
        <v>22</v>
      </c>
      <c r="E19" s="11">
        <v>59</v>
      </c>
      <c r="F19" s="11">
        <v>60.54</v>
      </c>
      <c r="G19" s="11">
        <f t="shared" si="0"/>
        <v>97.456227287743644</v>
      </c>
      <c r="H19" s="11">
        <v>59</v>
      </c>
      <c r="I19" s="11">
        <v>57.31</v>
      </c>
      <c r="J19" s="11">
        <f t="shared" si="1"/>
        <v>97.051125458035244</v>
      </c>
      <c r="K19" s="11">
        <v>65.5</v>
      </c>
      <c r="L19" s="11">
        <v>60.6</v>
      </c>
      <c r="M19" s="11">
        <f t="shared" si="2"/>
        <v>91.914191419141915</v>
      </c>
      <c r="N19" s="11">
        <v>63</v>
      </c>
      <c r="O19" s="11">
        <v>56.22</v>
      </c>
      <c r="P19" s="11">
        <f t="shared" si="3"/>
        <v>87.940234791888997</v>
      </c>
      <c r="Q19" s="12">
        <f t="shared" si="4"/>
        <v>93.590444739202454</v>
      </c>
      <c r="R19" s="13"/>
    </row>
    <row r="20" spans="1:18" x14ac:dyDescent="0.25">
      <c r="A20" s="14">
        <v>14</v>
      </c>
      <c r="B20" s="15" t="s">
        <v>40</v>
      </c>
      <c r="C20" s="14" t="s">
        <v>41</v>
      </c>
      <c r="D20" s="14">
        <v>23</v>
      </c>
      <c r="E20" s="16">
        <v>69</v>
      </c>
      <c r="F20" s="16">
        <v>68.459999999999994</v>
      </c>
      <c r="G20" s="16">
        <f t="shared" si="0"/>
        <v>99.211218229623128</v>
      </c>
      <c r="H20" s="16">
        <v>67</v>
      </c>
      <c r="I20" s="16">
        <v>64.66</v>
      </c>
      <c r="J20" s="16">
        <f t="shared" si="1"/>
        <v>96.381070213424053</v>
      </c>
      <c r="K20" s="16">
        <v>65</v>
      </c>
      <c r="L20" s="16">
        <v>60.76</v>
      </c>
      <c r="M20" s="16">
        <f t="shared" si="2"/>
        <v>93.021724818959839</v>
      </c>
      <c r="N20" s="16">
        <v>65</v>
      </c>
      <c r="O20" s="16">
        <v>59.37</v>
      </c>
      <c r="P20" s="16">
        <f t="shared" si="3"/>
        <v>90.517096176520127</v>
      </c>
      <c r="Q20" s="17">
        <f t="shared" si="4"/>
        <v>94.78277735963178</v>
      </c>
      <c r="R20" s="13"/>
    </row>
    <row r="21" spans="1:18" x14ac:dyDescent="0.25">
      <c r="A21" s="9">
        <v>15</v>
      </c>
      <c r="B21" s="10" t="s">
        <v>42</v>
      </c>
      <c r="C21" s="9" t="s">
        <v>43</v>
      </c>
      <c r="D21" s="9">
        <v>24</v>
      </c>
      <c r="E21" s="11">
        <v>44.5</v>
      </c>
      <c r="F21" s="11">
        <v>50.75</v>
      </c>
      <c r="G21" s="11">
        <f t="shared" si="0"/>
        <v>87.684729064039402</v>
      </c>
      <c r="H21" s="11">
        <v>43</v>
      </c>
      <c r="I21" s="11">
        <v>52.24</v>
      </c>
      <c r="J21" s="11">
        <f t="shared" si="1"/>
        <v>82.312404287901984</v>
      </c>
      <c r="K21" s="11">
        <v>43.5</v>
      </c>
      <c r="L21" s="11">
        <v>53.43</v>
      </c>
      <c r="M21" s="11">
        <f t="shared" si="2"/>
        <v>81.414935429533969</v>
      </c>
      <c r="N21" s="11">
        <v>43.5</v>
      </c>
      <c r="O21" s="11">
        <v>51.26</v>
      </c>
      <c r="P21" s="11">
        <f t="shared" si="3"/>
        <v>84.861490440889582</v>
      </c>
      <c r="Q21" s="12">
        <f t="shared" si="4"/>
        <v>84.068389805591238</v>
      </c>
      <c r="R21" s="13"/>
    </row>
    <row r="22" spans="1:18" x14ac:dyDescent="0.25">
      <c r="A22" s="14">
        <v>16</v>
      </c>
      <c r="B22" s="15" t="s">
        <v>44</v>
      </c>
      <c r="C22" s="14" t="s">
        <v>45</v>
      </c>
      <c r="D22" s="14">
        <v>26</v>
      </c>
      <c r="E22" s="16">
        <v>28</v>
      </c>
      <c r="F22" s="16">
        <v>30.94</v>
      </c>
      <c r="G22" s="16">
        <f t="shared" si="0"/>
        <v>90.497737556561077</v>
      </c>
      <c r="H22" s="16">
        <v>25.5</v>
      </c>
      <c r="I22" s="16">
        <v>23.54</v>
      </c>
      <c r="J22" s="16">
        <f t="shared" si="1"/>
        <v>91.673746813933732</v>
      </c>
      <c r="K22" s="16">
        <v>27.5</v>
      </c>
      <c r="L22" s="16">
        <v>30.82</v>
      </c>
      <c r="M22" s="16">
        <f t="shared" si="2"/>
        <v>89.227774172615185</v>
      </c>
      <c r="N22" s="16">
        <v>24.5</v>
      </c>
      <c r="O22" s="16">
        <v>24.16</v>
      </c>
      <c r="P22" s="16">
        <f t="shared" si="3"/>
        <v>98.592715231788077</v>
      </c>
      <c r="Q22" s="17">
        <f t="shared" si="4"/>
        <v>92.497993443724511</v>
      </c>
      <c r="R22" s="13"/>
    </row>
    <row r="23" spans="1:18" x14ac:dyDescent="0.25">
      <c r="A23" s="9">
        <v>17</v>
      </c>
      <c r="B23" s="10" t="s">
        <v>46</v>
      </c>
      <c r="C23" s="9" t="s">
        <v>47</v>
      </c>
      <c r="D23" s="9">
        <v>27</v>
      </c>
      <c r="E23" s="11">
        <v>29</v>
      </c>
      <c r="F23" s="11">
        <v>31.22</v>
      </c>
      <c r="G23" s="11">
        <f t="shared" si="0"/>
        <v>92.889173606662396</v>
      </c>
      <c r="H23" s="11">
        <v>26</v>
      </c>
      <c r="I23" s="11">
        <v>23.79</v>
      </c>
      <c r="J23" s="11">
        <f t="shared" si="1"/>
        <v>90.710382513661202</v>
      </c>
      <c r="K23" s="11">
        <v>28.5</v>
      </c>
      <c r="L23" s="11">
        <v>31.6</v>
      </c>
      <c r="M23" s="11">
        <f t="shared" si="2"/>
        <v>90.189873417721515</v>
      </c>
      <c r="N23" s="11">
        <v>26</v>
      </c>
      <c r="O23" s="11">
        <v>23.21</v>
      </c>
      <c r="P23" s="11">
        <f t="shared" si="3"/>
        <v>87.979319258940109</v>
      </c>
      <c r="Q23" s="12">
        <f t="shared" si="4"/>
        <v>90.442187199246305</v>
      </c>
      <c r="R23" s="13"/>
    </row>
    <row r="24" spans="1:18" x14ac:dyDescent="0.25">
      <c r="A24" s="14">
        <v>18</v>
      </c>
      <c r="B24" s="15" t="s">
        <v>48</v>
      </c>
      <c r="C24" s="14" t="s">
        <v>49</v>
      </c>
      <c r="D24" s="14">
        <v>32</v>
      </c>
      <c r="E24" s="16">
        <v>47</v>
      </c>
      <c r="F24" s="16">
        <v>44.6</v>
      </c>
      <c r="G24" s="16">
        <f t="shared" si="0"/>
        <v>94.618834080717491</v>
      </c>
      <c r="H24" s="16">
        <v>47</v>
      </c>
      <c r="I24" s="16">
        <v>47.28</v>
      </c>
      <c r="J24" s="16">
        <f t="shared" si="1"/>
        <v>99.407783417935704</v>
      </c>
      <c r="K24" s="16">
        <v>48.5</v>
      </c>
      <c r="L24" s="16">
        <v>30.19</v>
      </c>
      <c r="M24" s="16">
        <f t="shared" si="2"/>
        <v>39.350778403444849</v>
      </c>
      <c r="N24" s="16">
        <v>49</v>
      </c>
      <c r="O24" s="16">
        <v>32.75</v>
      </c>
      <c r="P24" s="16">
        <f t="shared" si="3"/>
        <v>50.381679389312978</v>
      </c>
      <c r="Q24" s="17">
        <f t="shared" si="4"/>
        <v>70.939768822852756</v>
      </c>
      <c r="R24" s="13"/>
    </row>
    <row r="25" spans="1:18" x14ac:dyDescent="0.25">
      <c r="A25" s="9">
        <v>19</v>
      </c>
      <c r="B25" s="10" t="s">
        <v>50</v>
      </c>
      <c r="C25" s="9" t="s">
        <v>51</v>
      </c>
      <c r="D25" s="9">
        <v>29</v>
      </c>
      <c r="E25" s="11">
        <v>85</v>
      </c>
      <c r="F25" s="11">
        <v>92.07</v>
      </c>
      <c r="G25" s="11">
        <f t="shared" si="0"/>
        <v>92.321060062995556</v>
      </c>
      <c r="H25" s="11">
        <v>85.5</v>
      </c>
      <c r="I25" s="11">
        <v>93.06</v>
      </c>
      <c r="J25" s="11">
        <f t="shared" si="1"/>
        <v>91.876208897485498</v>
      </c>
      <c r="K25" s="11">
        <v>85</v>
      </c>
      <c r="L25" s="11">
        <v>90.91</v>
      </c>
      <c r="M25" s="11">
        <f t="shared" si="2"/>
        <v>93.499065009349906</v>
      </c>
      <c r="N25" s="11">
        <v>84.5</v>
      </c>
      <c r="O25" s="11">
        <v>92.74</v>
      </c>
      <c r="P25" s="11">
        <f t="shared" si="3"/>
        <v>91.114945007547988</v>
      </c>
      <c r="Q25" s="12">
        <f t="shared" si="4"/>
        <v>92.202819744344737</v>
      </c>
      <c r="R25" s="13"/>
    </row>
    <row r="26" spans="1:18" x14ac:dyDescent="0.25">
      <c r="A26" s="14">
        <v>20</v>
      </c>
      <c r="B26" s="15" t="s">
        <v>52</v>
      </c>
      <c r="C26" s="14" t="s">
        <v>53</v>
      </c>
      <c r="D26" s="14">
        <v>30</v>
      </c>
      <c r="E26" s="16">
        <v>16</v>
      </c>
      <c r="F26" s="16">
        <v>20.29</v>
      </c>
      <c r="G26" s="16">
        <f t="shared" si="0"/>
        <v>78.85657959586004</v>
      </c>
      <c r="H26" s="16">
        <v>14.5</v>
      </c>
      <c r="I26" s="16">
        <v>12.95</v>
      </c>
      <c r="J26" s="16">
        <f t="shared" si="1"/>
        <v>88.030888030888022</v>
      </c>
      <c r="K26" s="16">
        <v>17.5</v>
      </c>
      <c r="L26" s="16">
        <v>18.84</v>
      </c>
      <c r="M26" s="16">
        <f t="shared" si="2"/>
        <v>92.887473460721864</v>
      </c>
      <c r="N26" s="16">
        <v>10.5</v>
      </c>
      <c r="O26" s="16">
        <v>13.35</v>
      </c>
      <c r="P26" s="16">
        <f t="shared" si="3"/>
        <v>78.651685393258433</v>
      </c>
      <c r="Q26" s="17">
        <f t="shared" si="4"/>
        <v>84.606656620182093</v>
      </c>
      <c r="R26" s="13"/>
    </row>
    <row r="27" spans="1:18" x14ac:dyDescent="0.25">
      <c r="A27" s="9">
        <v>21</v>
      </c>
      <c r="B27" s="10" t="s">
        <v>54</v>
      </c>
      <c r="C27" s="9" t="s">
        <v>55</v>
      </c>
      <c r="D27" s="9">
        <v>31</v>
      </c>
      <c r="E27" s="11">
        <v>39</v>
      </c>
      <c r="F27" s="11">
        <v>52.22</v>
      </c>
      <c r="G27" s="11">
        <f t="shared" si="0"/>
        <v>74.684029107621598</v>
      </c>
      <c r="H27" s="11">
        <v>39.5</v>
      </c>
      <c r="I27" s="11">
        <v>51.81</v>
      </c>
      <c r="J27" s="11">
        <f t="shared" si="1"/>
        <v>76.24010808724185</v>
      </c>
      <c r="K27" s="11">
        <v>42</v>
      </c>
      <c r="L27" s="11">
        <v>51.85</v>
      </c>
      <c r="M27" s="11">
        <f t="shared" si="2"/>
        <v>81.002892960462873</v>
      </c>
      <c r="N27" s="11">
        <v>42</v>
      </c>
      <c r="O27" s="11">
        <v>53.63</v>
      </c>
      <c r="P27" s="11">
        <f t="shared" si="3"/>
        <v>78.314376281931743</v>
      </c>
      <c r="Q27" s="12">
        <f t="shared" si="4"/>
        <v>77.560351609314523</v>
      </c>
      <c r="R27" s="13"/>
    </row>
    <row r="28" spans="1:18" x14ac:dyDescent="0.25">
      <c r="A28" s="14">
        <v>22</v>
      </c>
      <c r="B28" s="15" t="s">
        <v>56</v>
      </c>
      <c r="C28" s="14" t="s">
        <v>57</v>
      </c>
      <c r="D28" s="14">
        <v>33</v>
      </c>
      <c r="E28" s="16">
        <v>20.5</v>
      </c>
      <c r="F28" s="16">
        <v>25</v>
      </c>
      <c r="G28" s="16">
        <f t="shared" si="0"/>
        <v>82</v>
      </c>
      <c r="H28" s="16">
        <v>18</v>
      </c>
      <c r="I28" s="16">
        <v>23.54</v>
      </c>
      <c r="J28" s="16">
        <f t="shared" si="1"/>
        <v>76.465590484282075</v>
      </c>
      <c r="K28" s="16">
        <v>20.5</v>
      </c>
      <c r="L28" s="16">
        <v>24.73</v>
      </c>
      <c r="M28" s="16">
        <f t="shared" si="2"/>
        <v>82.895268904164979</v>
      </c>
      <c r="N28" s="16">
        <v>18</v>
      </c>
      <c r="O28" s="16">
        <v>22.23</v>
      </c>
      <c r="P28" s="16">
        <f t="shared" si="3"/>
        <v>80.97165991902834</v>
      </c>
      <c r="Q28" s="17">
        <f t="shared" si="4"/>
        <v>80.583129826868856</v>
      </c>
      <c r="R28" s="13"/>
    </row>
    <row r="29" spans="1:18" x14ac:dyDescent="0.25">
      <c r="A29" s="9">
        <v>23</v>
      </c>
      <c r="B29" s="10" t="s">
        <v>58</v>
      </c>
      <c r="C29" s="9" t="s">
        <v>59</v>
      </c>
      <c r="D29" s="9">
        <v>34</v>
      </c>
      <c r="E29" s="11">
        <v>22.5</v>
      </c>
      <c r="F29" s="11">
        <v>21.42</v>
      </c>
      <c r="G29" s="11">
        <f t="shared" si="0"/>
        <v>94.957983193277315</v>
      </c>
      <c r="H29" s="11">
        <v>23</v>
      </c>
      <c r="I29" s="11"/>
      <c r="J29" s="11" t="str">
        <f t="shared" si="1"/>
        <v/>
      </c>
      <c r="K29" s="11">
        <v>24</v>
      </c>
      <c r="L29" s="11">
        <v>22.57</v>
      </c>
      <c r="M29" s="11">
        <f t="shared" si="2"/>
        <v>93.664155959237931</v>
      </c>
      <c r="N29" s="11">
        <v>23.5</v>
      </c>
      <c r="O29" s="11"/>
      <c r="P29" s="11" t="str">
        <f t="shared" si="3"/>
        <v/>
      </c>
      <c r="Q29" s="12">
        <f t="shared" si="4"/>
        <v>94.311069576257623</v>
      </c>
      <c r="R29" s="13"/>
    </row>
    <row r="30" spans="1:18" x14ac:dyDescent="0.25">
      <c r="A30" s="14">
        <v>24</v>
      </c>
      <c r="B30" s="15" t="s">
        <v>60</v>
      </c>
      <c r="C30" s="14" t="s">
        <v>61</v>
      </c>
      <c r="D30" s="14">
        <v>35</v>
      </c>
      <c r="E30" s="16">
        <v>47.5</v>
      </c>
      <c r="F30" s="16">
        <v>51.71</v>
      </c>
      <c r="G30" s="16">
        <f t="shared" si="0"/>
        <v>91.858441307290661</v>
      </c>
      <c r="H30" s="16">
        <v>46</v>
      </c>
      <c r="I30" s="16">
        <v>43.78</v>
      </c>
      <c r="J30" s="16">
        <f t="shared" si="1"/>
        <v>94.929191411603469</v>
      </c>
      <c r="K30" s="16">
        <v>47.5</v>
      </c>
      <c r="L30" s="16">
        <v>52.29</v>
      </c>
      <c r="M30" s="16">
        <f t="shared" si="2"/>
        <v>90.839548670873967</v>
      </c>
      <c r="N30" s="16">
        <v>46</v>
      </c>
      <c r="O30" s="16">
        <v>44.02</v>
      </c>
      <c r="P30" s="16">
        <f t="shared" si="3"/>
        <v>95.502044525215823</v>
      </c>
      <c r="Q30" s="17">
        <f t="shared" si="4"/>
        <v>93.28230647874598</v>
      </c>
      <c r="R30" s="13"/>
    </row>
    <row r="31" spans="1:18" x14ac:dyDescent="0.25">
      <c r="A31" s="9">
        <v>25</v>
      </c>
      <c r="B31" s="10" t="s">
        <v>62</v>
      </c>
      <c r="C31" s="9" t="s">
        <v>63</v>
      </c>
      <c r="D31" s="9">
        <v>36</v>
      </c>
      <c r="E31" s="11">
        <v>32</v>
      </c>
      <c r="F31" s="11">
        <v>33.69</v>
      </c>
      <c r="G31" s="11">
        <f t="shared" si="0"/>
        <v>94.98367468091422</v>
      </c>
      <c r="H31" s="11">
        <v>30</v>
      </c>
      <c r="I31" s="11">
        <v>28.07</v>
      </c>
      <c r="J31" s="11">
        <f t="shared" si="1"/>
        <v>93.12433202707517</v>
      </c>
      <c r="K31" s="11">
        <v>32.5</v>
      </c>
      <c r="L31" s="11">
        <v>35.68</v>
      </c>
      <c r="M31" s="11">
        <f t="shared" si="2"/>
        <v>91.087443946188344</v>
      </c>
      <c r="N31" s="11">
        <v>31</v>
      </c>
      <c r="O31" s="11">
        <v>30.14</v>
      </c>
      <c r="P31" s="11">
        <f t="shared" si="3"/>
        <v>97.14664897146649</v>
      </c>
      <c r="Q31" s="12">
        <f t="shared" si="4"/>
        <v>94.085524906411052</v>
      </c>
      <c r="R31" s="13"/>
    </row>
    <row r="32" spans="1:18" x14ac:dyDescent="0.25">
      <c r="A32" s="14">
        <v>26</v>
      </c>
      <c r="B32" s="15" t="s">
        <v>64</v>
      </c>
      <c r="C32" s="14" t="s">
        <v>65</v>
      </c>
      <c r="D32" s="14">
        <v>37</v>
      </c>
      <c r="E32" s="16">
        <v>56</v>
      </c>
      <c r="F32" s="16">
        <v>54.91</v>
      </c>
      <c r="G32" s="16">
        <f t="shared" si="0"/>
        <v>98.0149335275906</v>
      </c>
      <c r="H32" s="16">
        <v>55.5</v>
      </c>
      <c r="I32" s="16">
        <v>49.35</v>
      </c>
      <c r="J32" s="16">
        <f t="shared" si="1"/>
        <v>87.537993920972653</v>
      </c>
      <c r="K32" s="16">
        <v>56</v>
      </c>
      <c r="L32" s="16">
        <v>54.61</v>
      </c>
      <c r="M32" s="16">
        <f t="shared" si="2"/>
        <v>97.454678630287489</v>
      </c>
      <c r="N32" s="16">
        <v>55.5</v>
      </c>
      <c r="O32" s="16">
        <v>47.03</v>
      </c>
      <c r="P32" s="16">
        <f t="shared" si="3"/>
        <v>81.990219009143104</v>
      </c>
      <c r="Q32" s="17">
        <f t="shared" si="4"/>
        <v>91.249456271998469</v>
      </c>
      <c r="R32" s="13"/>
    </row>
    <row r="33" spans="1:18" x14ac:dyDescent="0.25">
      <c r="A33" s="9">
        <v>27</v>
      </c>
      <c r="B33" s="10" t="s">
        <v>66</v>
      </c>
      <c r="C33" s="9" t="s">
        <v>67</v>
      </c>
      <c r="D33" s="9">
        <v>38</v>
      </c>
      <c r="E33" s="11">
        <v>53</v>
      </c>
      <c r="F33" s="11">
        <v>50.58</v>
      </c>
      <c r="G33" s="11">
        <f t="shared" si="0"/>
        <v>95.215500197706604</v>
      </c>
      <c r="H33" s="11">
        <v>51.5</v>
      </c>
      <c r="I33" s="11">
        <v>44.76</v>
      </c>
      <c r="J33" s="11">
        <f t="shared" si="1"/>
        <v>84.941912421805171</v>
      </c>
      <c r="K33" s="11">
        <v>53.5</v>
      </c>
      <c r="L33" s="11">
        <v>52.99</v>
      </c>
      <c r="M33" s="11">
        <f t="shared" si="2"/>
        <v>99.037554255519908</v>
      </c>
      <c r="N33" s="11">
        <v>52</v>
      </c>
      <c r="O33" s="11">
        <v>48.64</v>
      </c>
      <c r="P33" s="11">
        <f t="shared" si="3"/>
        <v>93.09210526315789</v>
      </c>
      <c r="Q33" s="12">
        <f t="shared" si="4"/>
        <v>93.071768034547404</v>
      </c>
      <c r="R33" s="13"/>
    </row>
    <row r="34" spans="1:18" x14ac:dyDescent="0.25">
      <c r="A34" s="14">
        <v>28</v>
      </c>
      <c r="B34" s="15" t="s">
        <v>52</v>
      </c>
      <c r="C34" s="14" t="s">
        <v>68</v>
      </c>
      <c r="D34" s="14">
        <v>39</v>
      </c>
      <c r="E34" s="16">
        <v>28</v>
      </c>
      <c r="F34" s="16">
        <v>30.51</v>
      </c>
      <c r="G34" s="16">
        <f t="shared" si="0"/>
        <v>91.773189118321852</v>
      </c>
      <c r="H34" s="16">
        <v>25</v>
      </c>
      <c r="I34" s="16">
        <v>24.02</v>
      </c>
      <c r="J34" s="16">
        <f t="shared" si="1"/>
        <v>95.920066611157367</v>
      </c>
      <c r="K34" s="16">
        <v>27.5</v>
      </c>
      <c r="L34" s="16">
        <v>30.79</v>
      </c>
      <c r="M34" s="16">
        <f t="shared" si="2"/>
        <v>89.31471256901591</v>
      </c>
      <c r="N34" s="16">
        <v>24.5</v>
      </c>
      <c r="O34" s="16">
        <v>24.4</v>
      </c>
      <c r="P34" s="16">
        <f t="shared" si="3"/>
        <v>99.590163934426229</v>
      </c>
      <c r="Q34" s="17">
        <f t="shared" si="4"/>
        <v>94.149533058230347</v>
      </c>
      <c r="R34" s="13"/>
    </row>
    <row r="35" spans="1:18" x14ac:dyDescent="0.25">
      <c r="A35" s="9">
        <v>29</v>
      </c>
      <c r="B35" s="10" t="s">
        <v>69</v>
      </c>
      <c r="C35" s="9" t="s">
        <v>70</v>
      </c>
      <c r="D35" s="9">
        <v>40</v>
      </c>
      <c r="E35" s="11">
        <v>31</v>
      </c>
      <c r="F35" s="11">
        <v>36.590000000000003</v>
      </c>
      <c r="G35" s="11">
        <f t="shared" si="0"/>
        <v>84.722601803771511</v>
      </c>
      <c r="H35" s="11">
        <v>29.5</v>
      </c>
      <c r="I35" s="11">
        <v>27.94</v>
      </c>
      <c r="J35" s="11">
        <f t="shared" si="1"/>
        <v>94.416607015032213</v>
      </c>
      <c r="K35" s="11">
        <v>32</v>
      </c>
      <c r="L35" s="11">
        <v>34.770000000000003</v>
      </c>
      <c r="M35" s="11">
        <f t="shared" si="2"/>
        <v>92.033362093758981</v>
      </c>
      <c r="N35" s="11">
        <v>29</v>
      </c>
      <c r="O35" s="11">
        <v>27.89</v>
      </c>
      <c r="P35" s="11">
        <f t="shared" si="3"/>
        <v>96.020078881319478</v>
      </c>
      <c r="Q35" s="12">
        <f t="shared" si="4"/>
        <v>91.798162448470549</v>
      </c>
      <c r="R35" s="13"/>
    </row>
    <row r="36" spans="1:18" x14ac:dyDescent="0.25">
      <c r="A36" s="14">
        <v>30</v>
      </c>
      <c r="B36" s="15" t="s">
        <v>71</v>
      </c>
      <c r="C36" s="14" t="s">
        <v>72</v>
      </c>
      <c r="D36" s="14">
        <v>41</v>
      </c>
      <c r="E36" s="16">
        <v>34</v>
      </c>
      <c r="F36" s="16">
        <v>35.75</v>
      </c>
      <c r="G36" s="16">
        <f t="shared" si="0"/>
        <v>95.104895104895107</v>
      </c>
      <c r="H36" s="16">
        <v>32.5</v>
      </c>
      <c r="I36" s="16">
        <v>34.49</v>
      </c>
      <c r="J36" s="16">
        <f t="shared" si="1"/>
        <v>94.230211655552324</v>
      </c>
      <c r="K36" s="16">
        <v>34</v>
      </c>
      <c r="L36" s="16">
        <v>37.72</v>
      </c>
      <c r="M36" s="16">
        <f t="shared" si="2"/>
        <v>90.137857900318139</v>
      </c>
      <c r="N36" s="16">
        <v>31.5</v>
      </c>
      <c r="O36" s="16">
        <v>35.020000000000003</v>
      </c>
      <c r="P36" s="16">
        <f t="shared" si="3"/>
        <v>89.948600799543115</v>
      </c>
      <c r="Q36" s="17">
        <f t="shared" si="4"/>
        <v>92.355391365077168</v>
      </c>
      <c r="R36" s="13"/>
    </row>
    <row r="38" spans="1:18" ht="15.75" x14ac:dyDescent="0.25">
      <c r="A38" s="2" t="s">
        <v>73</v>
      </c>
      <c r="B38" s="2"/>
      <c r="C38" s="2"/>
      <c r="D38" s="2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9">
        <f>AVERAGE(Q7,Q8,Q9,Q10,Q11,Q12,Q13,Q14,Q15,Q16,Q17,Q18,Q19,Q20,Q21,Q22,Q23,Q24,Q25,Q26,Q27,Q28,Q29,Q30,Q31,Q32,Q33,Q34,Q35,Q36)</f>
        <v>89.701548749171508</v>
      </c>
      <c r="R38" s="18"/>
    </row>
    <row r="40" spans="1:18" x14ac:dyDescent="0.25">
      <c r="A40" s="20" t="s">
        <v>74</v>
      </c>
    </row>
    <row r="41" spans="1:18" x14ac:dyDescent="0.25">
      <c r="A41" s="21" t="s">
        <v>75</v>
      </c>
    </row>
    <row r="42" spans="1:18" x14ac:dyDescent="0.25">
      <c r="A42" s="21" t="s">
        <v>76</v>
      </c>
    </row>
    <row r="44" spans="1:18" ht="30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</sheetData>
  <mergeCells count="15">
    <mergeCell ref="A38:D38"/>
    <mergeCell ref="A44:R44"/>
    <mergeCell ref="A1:U1"/>
    <mergeCell ref="A2:U2"/>
    <mergeCell ref="A3:U3"/>
    <mergeCell ref="A5:A6"/>
    <mergeCell ref="B5:B6"/>
    <mergeCell ref="C5:C6"/>
    <mergeCell ref="D5:D6"/>
    <mergeCell ref="E5:G5"/>
    <mergeCell ref="H5:J5"/>
    <mergeCell ref="K5:M5"/>
    <mergeCell ref="N5:P5"/>
    <mergeCell ref="Q5:Q6"/>
    <mergeCell ref="R5:R6"/>
  </mergeCells>
  <conditionalFormatting sqref="G7:G36">
    <cfRule type="cellIs" dxfId="11" priority="2" operator="greaterThanOrEqual">
      <formula>95</formula>
    </cfRule>
    <cfRule type="cellIs" dxfId="10" priority="3" operator="between">
      <formula>85</formula>
      <formula>94.999</formula>
    </cfRule>
    <cfRule type="cellIs" dxfId="9" priority="4" operator="lessThan">
      <formula>85</formula>
    </cfRule>
  </conditionalFormatting>
  <conditionalFormatting sqref="J7:J36">
    <cfRule type="cellIs" dxfId="8" priority="5" operator="greaterThanOrEqual">
      <formula>95</formula>
    </cfRule>
    <cfRule type="cellIs" dxfId="7" priority="6" operator="between">
      <formula>85</formula>
      <formula>94.999</formula>
    </cfRule>
    <cfRule type="cellIs" dxfId="6" priority="7" operator="lessThan">
      <formula>85</formula>
    </cfRule>
  </conditionalFormatting>
  <conditionalFormatting sqref="M7:M36">
    <cfRule type="cellIs" dxfId="5" priority="8" operator="greaterThanOrEqual">
      <formula>95</formula>
    </cfRule>
    <cfRule type="cellIs" dxfId="4" priority="9" operator="between">
      <formula>85</formula>
      <formula>94.999</formula>
    </cfRule>
    <cfRule type="cellIs" dxfId="3" priority="10" operator="lessThan">
      <formula>85</formula>
    </cfRule>
  </conditionalFormatting>
  <conditionalFormatting sqref="P7:Q36">
    <cfRule type="cellIs" dxfId="2" priority="11" operator="greaterThanOrEqual">
      <formula>95</formula>
    </cfRule>
    <cfRule type="cellIs" dxfId="1" priority="12" operator="between">
      <formula>85</formula>
      <formula>94.999</formula>
    </cfRule>
    <cfRule type="cellIs" dxfId="0" priority="13" operator="lessThan">
      <formula>85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Accuracy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Wajahat Mahmood</cp:lastModifiedBy>
  <cp:revision>0</cp:revision>
  <dcterms:created xsi:type="dcterms:W3CDTF">2026-07-14T19:11:20Z</dcterms:created>
  <dcterms:modified xsi:type="dcterms:W3CDTF">2026-07-14T19:14:43Z</dcterms:modified>
  <dc:language>en-US</dc:language>
</cp:coreProperties>
</file>